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LA Reference" sheetId="2" state="visible" r:id="rId4"/>
    <sheet name="Findings Log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<sst xmlns="http://schemas.openxmlformats.org/spreadsheetml/2006/main" count="140" uniqueCount="106">
  <si>
    <t xml:space="preserve">SafeX Solutions — Vulnerability Findings &amp; Remediation Tracker</t>
  </si>
  <si>
    <t xml:space="preserve">Built for: Process-Improvement Proposal — Mini-Project, Group 40 (Ayza Waseem)</t>
  </si>
  <si>
    <t xml:space="preserve">WHAT THIS IS</t>
  </si>
  <si>
    <t xml:space="preserve">A lightweight, no-new-software tracker that replaces the current practice of sending vulnerability-assessment findings to clients as a static PDF/email with no shared, living record of remediation status.</t>
  </si>
  <si>
    <t xml:space="preserve">HOW TO USE IT</t>
  </si>
  <si>
    <t xml:space="preserve">1. Open the 'Findings Log' tab. Each row is one vulnerability finding.</t>
  </si>
  <si>
    <t xml:space="preserve">2. Add a new finding below the last row. Fill in the columns shown in BLUE font — these are the only cells you type into.</t>
  </si>
  <si>
    <t xml:space="preserve">3. Columns in BLACK font calculate themselves (SLA due date, days remaining/overdue) — never type into these.</t>
  </si>
  <si>
    <t xml:space="preserve">4. Pick Severity and Status from the dropdown lists provided in those cells.</t>
  </si>
  <si>
    <t xml:space="preserve">5. Open the 'Dashboard' tab to see live totals and the overdue count update automatically.</t>
  </si>
  <si>
    <t xml:space="preserve">6. The 'SLA Reference' tab holds the remediation-deadline policy per severity. Change the days there if your team's policy differs — every finding's due date updates automatically.</t>
  </si>
  <si>
    <t xml:space="preserve">COLOUR LEGEND</t>
  </si>
  <si>
    <t xml:space="preserve">Blue text   = type here (inputs)</t>
  </si>
  <si>
    <t xml:space="preserve">Black text  = formula, do not overwrite</t>
  </si>
  <si>
    <t xml:space="preserve">Red row     = overdue and still open</t>
  </si>
  <si>
    <t xml:space="preserve">Yellow row  = due within 2 days</t>
  </si>
  <si>
    <t xml:space="preserve">Green row   = resolved / verified closed</t>
  </si>
  <si>
    <t xml:space="preserve">WHY THIS MATTERS</t>
  </si>
  <si>
    <t xml:space="preserve">Full reasoning, current-state analysis, and expected impact are in the accompanying document 'Process-Improvement Proposal.docx'. This workbook is the working module referenced there.</t>
  </si>
  <si>
    <t xml:space="preserve">Severity</t>
  </si>
  <si>
    <t xml:space="preserve">SLA (Business Days)</t>
  </si>
  <si>
    <t xml:space="preserve">Description</t>
  </si>
  <si>
    <t xml:space="preserve">Critical</t>
  </si>
  <si>
    <t xml:space="preserve">Actively exploitable / severe business impact. Remediate immediately.</t>
  </si>
  <si>
    <t xml:space="preserve">High</t>
  </si>
  <si>
    <t xml:space="preserve">Significant risk of exploitation. Remediate within one week.</t>
  </si>
  <si>
    <t xml:space="preserve">Medium</t>
  </si>
  <si>
    <t xml:space="preserve">Moderate risk. Remediate within the current sprint/month.</t>
  </si>
  <si>
    <t xml:space="preserve">Low</t>
  </si>
  <si>
    <t xml:space="preserve">Minor risk. Remediate during the next scheduled maintenance cycle.</t>
  </si>
  <si>
    <t xml:space="preserve">Note: SLA days are business-policy inputs — edit freely; every finding's due date recalculates automatically.</t>
  </si>
  <si>
    <t xml:space="preserve">Finding ID</t>
  </si>
  <si>
    <t xml:space="preserve">Client</t>
  </si>
  <si>
    <t xml:space="preserve">Asset / System</t>
  </si>
  <si>
    <t xml:space="preserve">Vulnerability</t>
  </si>
  <si>
    <t xml:space="preserve">CVSS</t>
  </si>
  <si>
    <t xml:space="preserve">Date Identified</t>
  </si>
  <si>
    <t xml:space="preserve">SLA (Days)</t>
  </si>
  <si>
    <t xml:space="preserve">Due Date</t>
  </si>
  <si>
    <t xml:space="preserve">Recommended Fix</t>
  </si>
  <si>
    <t xml:space="preserve">Owner</t>
  </si>
  <si>
    <t xml:space="preserve">Status</t>
  </si>
  <si>
    <t xml:space="preserve">Date Resolved</t>
  </si>
  <si>
    <t xml:space="preserve">Days Remaining / Overdue</t>
  </si>
  <si>
    <t xml:space="preserve">VF-0001</t>
  </si>
  <si>
    <t xml:space="preserve">Client A - Retail Co</t>
  </si>
  <si>
    <t xml:space="preserve">Customer web portal</t>
  </si>
  <si>
    <t xml:space="preserve">SQL injection on login form</t>
  </si>
  <si>
    <t xml:space="preserve">Patch input validation; deploy WAF rule</t>
  </si>
  <si>
    <t xml:space="preserve">Dev Team - S. Khan</t>
  </si>
  <si>
    <t xml:space="preserve">Open</t>
  </si>
  <si>
    <t xml:space="preserve">VF-0002</t>
  </si>
  <si>
    <t xml:space="preserve">Admin panel</t>
  </si>
  <si>
    <t xml:space="preserve">Default admin credentials in use</t>
  </si>
  <si>
    <t xml:space="preserve">Force password reset; enforce MFA</t>
  </si>
  <si>
    <t xml:space="preserve">Security Team - A. Raza</t>
  </si>
  <si>
    <t xml:space="preserve">In Progress</t>
  </si>
  <si>
    <t xml:space="preserve">VF-0003</t>
  </si>
  <si>
    <t xml:space="preserve">Client B - Fintech Co</t>
  </si>
  <si>
    <t xml:space="preserve">API gateway</t>
  </si>
  <si>
    <t xml:space="preserve">Missing rate limiting on auth endpoint</t>
  </si>
  <si>
    <t xml:space="preserve">Add rate limiting + lockout policy</t>
  </si>
  <si>
    <t xml:space="preserve">Dev Team - M. Ali</t>
  </si>
  <si>
    <t xml:space="preserve">VF-0004</t>
  </si>
  <si>
    <t xml:space="preserve">Payment DB server</t>
  </si>
  <si>
    <t xml:space="preserve">Outdated TLS version (TLS 1.0)</t>
  </si>
  <si>
    <t xml:space="preserve">Upgrade to TLS 1.2+; disable legacy ciphers</t>
  </si>
  <si>
    <t xml:space="preserve">Infra Team - H. Baig</t>
  </si>
  <si>
    <t xml:space="preserve">VF-0005</t>
  </si>
  <si>
    <t xml:space="preserve">Client C - Retail Co</t>
  </si>
  <si>
    <t xml:space="preserve">Marketing website</t>
  </si>
  <si>
    <t xml:space="preserve">Outdated WordPress plugin (XSS)</t>
  </si>
  <si>
    <t xml:space="preserve">Update plugin; add CSP header</t>
  </si>
  <si>
    <t xml:space="preserve">Resolved</t>
  </si>
  <si>
    <t xml:space="preserve">VF-0006</t>
  </si>
  <si>
    <t xml:space="preserve">Cloud storage</t>
  </si>
  <si>
    <t xml:space="preserve">Publicly readable S3 bucket</t>
  </si>
  <si>
    <t xml:space="preserve">Restrict bucket policy; audit access logs</t>
  </si>
  <si>
    <t xml:space="preserve">VF-0007</t>
  </si>
  <si>
    <t xml:space="preserve">Client D - Logistics Co</t>
  </si>
  <si>
    <t xml:space="preserve">Employee portal</t>
  </si>
  <si>
    <t xml:space="preserve">No account lockout after failed logins</t>
  </si>
  <si>
    <t xml:space="preserve">Add lockout after 5 attempts</t>
  </si>
  <si>
    <t xml:space="preserve">VF-0008</t>
  </si>
  <si>
    <t xml:space="preserve">Internal network</t>
  </si>
  <si>
    <t xml:space="preserve">Unpatched CMS (known CVE)</t>
  </si>
  <si>
    <t xml:space="preserve">Apply vendor security patch</t>
  </si>
  <si>
    <t xml:space="preserve">Infra Team - A. Raza</t>
  </si>
  <si>
    <t xml:space="preserve">Verified Closed</t>
  </si>
  <si>
    <t xml:space="preserve">VF-0009</t>
  </si>
  <si>
    <t xml:space="preserve">Client E - Fintech Co</t>
  </si>
  <si>
    <t xml:space="preserve">Mobile app backend</t>
  </si>
  <si>
    <t xml:space="preserve">Sensitive data logged in plaintext</t>
  </si>
  <si>
    <t xml:space="preserve">Mask PII in logs; rotate exposed keys</t>
  </si>
  <si>
    <t xml:space="preserve">VF-0010</t>
  </si>
  <si>
    <t xml:space="preserve">Corporate VPN</t>
  </si>
  <si>
    <t xml:space="preserve">No MFA on VPN access</t>
  </si>
  <si>
    <t xml:space="preserve">Enable MFA for all VPN accounts</t>
  </si>
  <si>
    <t xml:space="preserve">Vulnerability Remediation Dashboard</t>
  </si>
  <si>
    <t xml:space="preserve">Auto-calculated from 'Findings Log'. Updates the moment a new finding is added.</t>
  </si>
  <si>
    <t xml:space="preserve">Total Findings</t>
  </si>
  <si>
    <t xml:space="preserve">Resolved / Closed</t>
  </si>
  <si>
    <t xml:space="preserve">Overdue (open + past due)</t>
  </si>
  <si>
    <t xml:space="preserve">% of Open Findings Within SLA</t>
  </si>
  <si>
    <t xml:space="preserve">Open Findings by Severity</t>
  </si>
  <si>
    <t xml:space="preserve">Count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</si>
</sst>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Findings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Dashboard!$B$12:$B$15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29008089"/>
        <c:axId val="61145488"/>
      </c:barChart>
      <c:catAx>
        <c:axId val="290080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45488"/>
        <c:crosses val="autoZero"/>
        <c:auto val="1"/>
        <c:lblAlgn val="ctr"/>
        <c:lblOffset val="100"/>
        <c:noMultiLvlLbl val="0"/>
      </c:catAx>
      <c:valAx>
        <c:axId val="61145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080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100800</xdr:rowOff>
    </xdr:from>
    <xdr:to>
      <xdr:col>7</xdr:col>
      <xdr:colOff>325080</xdr:colOff>
      <xdr:row>23</xdr:row>
      <xdr:rowOff>123120</xdr:rowOff>
    </xdr:to>
    <xdr:graphicFrame>
      <xdr:nvGraphicFramePr>
        <xdr:cNvPr id="0" name="Chart 1"/>
        <xdr:cNvGraphicFramePr/>
      </xdr:nvGraphicFramePr>
      <xdr:xfrm>
        <a:off x="3806280" y="2038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17</v>
      </c>
    </row>
    <row r="23" customFormat="false" ht="23.8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26.85" hidden="false" customHeight="false" outlineLevel="0" collapsed="false">
      <c r="A1" s="5" t="s">
        <v>19</v>
      </c>
      <c r="B1" s="5" t="s">
        <v>20</v>
      </c>
      <c r="C1" s="5" t="s">
        <v>21</v>
      </c>
    </row>
    <row r="2" customFormat="false" ht="15" hidden="false" customHeight="false" outlineLevel="0" collapsed="false">
      <c r="A2" s="6" t="s">
        <v>22</v>
      </c>
      <c r="B2" s="6" t="n">
        <v>3</v>
      </c>
      <c r="C2" s="6" t="s">
        <v>23</v>
      </c>
    </row>
    <row r="3" customFormat="false" ht="15" hidden="false" customHeight="false" outlineLevel="0" collapsed="false">
      <c r="A3" s="6" t="s">
        <v>24</v>
      </c>
      <c r="B3" s="6" t="n">
        <v>7</v>
      </c>
      <c r="C3" s="6" t="s">
        <v>25</v>
      </c>
    </row>
    <row r="4" customFormat="false" ht="15" hidden="false" customHeight="false" outlineLevel="0" collapsed="false">
      <c r="A4" s="6" t="s">
        <v>26</v>
      </c>
      <c r="B4" s="6" t="n">
        <v>30</v>
      </c>
      <c r="C4" s="6" t="s">
        <v>27</v>
      </c>
    </row>
    <row r="5" customFormat="false" ht="15" hidden="false" customHeight="false" outlineLevel="0" collapsed="false">
      <c r="A5" s="6" t="s">
        <v>28</v>
      </c>
      <c r="B5" s="6" t="n">
        <v>90</v>
      </c>
      <c r="C5" s="6" t="s">
        <v>29</v>
      </c>
    </row>
    <row r="7" customFormat="false" ht="15" hidden="false" customHeight="false" outlineLevel="0" collapsed="false">
      <c r="A7" s="2" t="s">
        <v>30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14"/>
  </cols>
  <sheetData>
    <row r="1" customFormat="false" ht="31.5" hidden="false" customHeight="tru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19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</row>
    <row r="2" customFormat="false" ht="15" hidden="false" customHeight="false" outlineLevel="0" collapsed="false">
      <c r="A2" s="7" t="s">
        <v>44</v>
      </c>
      <c r="B2" s="7" t="s">
        <v>45</v>
      </c>
      <c r="C2" s="7" t="s">
        <v>46</v>
      </c>
      <c r="D2" s="7" t="s">
        <v>47</v>
      </c>
      <c r="E2" s="7" t="s">
        <v>22</v>
      </c>
      <c r="F2" s="7" t="n">
        <v>9.8</v>
      </c>
      <c r="G2" s="8" t="n">
        <v>46214</v>
      </c>
      <c r="H2" s="9" t="n">
        <f aca="false">INDEX('SLA Reference'!$B$2:$B$5,MATCH(E2,'SLA Reference'!$A$2:$A$5,0))</f>
        <v>3</v>
      </c>
      <c r="I2" s="10" t="n">
        <f aca="false">G2+H2</f>
        <v>46217</v>
      </c>
      <c r="J2" s="7" t="s">
        <v>48</v>
      </c>
      <c r="K2" s="7" t="s">
        <v>49</v>
      </c>
      <c r="L2" s="7" t="s">
        <v>50</v>
      </c>
      <c r="M2" s="8"/>
      <c r="N2" s="11" t="n">
        <f aca="true">IF(OR(L2="Resolved",L2="Verified Closed"),"Closed",I2-TODAY())</f>
        <v>-2</v>
      </c>
    </row>
    <row r="3" customFormat="false" ht="15" hidden="false" customHeight="false" outlineLevel="0" collapsed="false">
      <c r="A3" s="7" t="s">
        <v>51</v>
      </c>
      <c r="B3" s="7" t="s">
        <v>45</v>
      </c>
      <c r="C3" s="7" t="s">
        <v>52</v>
      </c>
      <c r="D3" s="7" t="s">
        <v>53</v>
      </c>
      <c r="E3" s="7" t="s">
        <v>22</v>
      </c>
      <c r="F3" s="7" t="n">
        <v>9.1</v>
      </c>
      <c r="G3" s="8" t="n">
        <v>46218</v>
      </c>
      <c r="H3" s="9" t="n">
        <f aca="false">INDEX('SLA Reference'!$B$2:$B$5,MATCH(E3,'SLA Reference'!$A$2:$A$5,0))</f>
        <v>3</v>
      </c>
      <c r="I3" s="10" t="n">
        <f aca="false">G3+H3</f>
        <v>46221</v>
      </c>
      <c r="J3" s="7" t="s">
        <v>54</v>
      </c>
      <c r="K3" s="7" t="s">
        <v>55</v>
      </c>
      <c r="L3" s="7" t="s">
        <v>56</v>
      </c>
      <c r="M3" s="8"/>
      <c r="N3" s="11" t="n">
        <f aca="true">IF(OR(L3="Resolved",L3="Verified Closed"),"Closed",I3-TODAY())</f>
        <v>2</v>
      </c>
    </row>
    <row r="4" customFormat="false" ht="15" hidden="false" customHeight="false" outlineLevel="0" collapsed="false">
      <c r="A4" s="7" t="s">
        <v>57</v>
      </c>
      <c r="B4" s="7" t="s">
        <v>58</v>
      </c>
      <c r="C4" s="7" t="s">
        <v>59</v>
      </c>
      <c r="D4" s="7" t="s">
        <v>60</v>
      </c>
      <c r="E4" s="7" t="s">
        <v>24</v>
      </c>
      <c r="F4" s="7" t="n">
        <v>7.5</v>
      </c>
      <c r="G4" s="8" t="n">
        <v>46210</v>
      </c>
      <c r="H4" s="9" t="n">
        <f aca="false">INDEX('SLA Reference'!$B$2:$B$5,MATCH(E4,'SLA Reference'!$A$2:$A$5,0))</f>
        <v>7</v>
      </c>
      <c r="I4" s="10" t="n">
        <f aca="false">G4+H4</f>
        <v>46217</v>
      </c>
      <c r="J4" s="7" t="s">
        <v>61</v>
      </c>
      <c r="K4" s="7" t="s">
        <v>62</v>
      </c>
      <c r="L4" s="7" t="s">
        <v>50</v>
      </c>
      <c r="M4" s="8"/>
      <c r="N4" s="11" t="n">
        <f aca="true">IF(OR(L4="Resolved",L4="Verified Closed"),"Closed",I4-TODAY())</f>
        <v>-2</v>
      </c>
    </row>
    <row r="5" customFormat="false" ht="15" hidden="false" customHeight="false" outlineLevel="0" collapsed="false">
      <c r="A5" s="7" t="s">
        <v>63</v>
      </c>
      <c r="B5" s="7" t="s">
        <v>58</v>
      </c>
      <c r="C5" s="7" t="s">
        <v>64</v>
      </c>
      <c r="D5" s="7" t="s">
        <v>65</v>
      </c>
      <c r="E5" s="7" t="s">
        <v>24</v>
      </c>
      <c r="F5" s="7" t="n">
        <v>7</v>
      </c>
      <c r="G5" s="8" t="n">
        <v>46217</v>
      </c>
      <c r="H5" s="9" t="n">
        <f aca="false">INDEX('SLA Reference'!$B$2:$B$5,MATCH(E5,'SLA Reference'!$A$2:$A$5,0))</f>
        <v>7</v>
      </c>
      <c r="I5" s="10" t="n">
        <f aca="false">G5+H5</f>
        <v>46224</v>
      </c>
      <c r="J5" s="7" t="s">
        <v>66</v>
      </c>
      <c r="K5" s="7" t="s">
        <v>67</v>
      </c>
      <c r="L5" s="7" t="s">
        <v>56</v>
      </c>
      <c r="M5" s="8"/>
      <c r="N5" s="11" t="n">
        <f aca="true">IF(OR(L5="Resolved",L5="Verified Closed"),"Closed",I5-TODAY())</f>
        <v>5</v>
      </c>
    </row>
    <row r="6" customFormat="false" ht="15" hidden="false" customHeight="false" outlineLevel="0" collapsed="false">
      <c r="A6" s="7" t="s">
        <v>68</v>
      </c>
      <c r="B6" s="7" t="s">
        <v>69</v>
      </c>
      <c r="C6" s="7" t="s">
        <v>70</v>
      </c>
      <c r="D6" s="7" t="s">
        <v>71</v>
      </c>
      <c r="E6" s="7" t="s">
        <v>26</v>
      </c>
      <c r="F6" s="7" t="n">
        <v>5.4</v>
      </c>
      <c r="G6" s="8" t="n">
        <v>46199</v>
      </c>
      <c r="H6" s="9" t="n">
        <f aca="false">INDEX('SLA Reference'!$B$2:$B$5,MATCH(E6,'SLA Reference'!$A$2:$A$5,0))</f>
        <v>30</v>
      </c>
      <c r="I6" s="10" t="n">
        <f aca="false">G6+H6</f>
        <v>46229</v>
      </c>
      <c r="J6" s="7" t="s">
        <v>72</v>
      </c>
      <c r="K6" s="7" t="s">
        <v>49</v>
      </c>
      <c r="L6" s="7" t="s">
        <v>73</v>
      </c>
      <c r="M6" s="8" t="n">
        <v>46217</v>
      </c>
      <c r="N6" s="11" t="str">
        <f aca="true">IF(OR(L6="Resolved",L6="Verified Closed"),"Closed",I6-TODAY())</f>
        <v>Closed</v>
      </c>
    </row>
    <row r="7" customFormat="false" ht="15" hidden="false" customHeight="false" outlineLevel="0" collapsed="false">
      <c r="A7" s="7" t="s">
        <v>74</v>
      </c>
      <c r="B7" s="7" t="s">
        <v>69</v>
      </c>
      <c r="C7" s="7" t="s">
        <v>75</v>
      </c>
      <c r="D7" s="7" t="s">
        <v>76</v>
      </c>
      <c r="E7" s="7" t="s">
        <v>22</v>
      </c>
      <c r="F7" s="7" t="n">
        <v>8.6</v>
      </c>
      <c r="G7" s="8" t="n">
        <v>46215</v>
      </c>
      <c r="H7" s="9" t="n">
        <f aca="false">INDEX('SLA Reference'!$B$2:$B$5,MATCH(E7,'SLA Reference'!$A$2:$A$5,0))</f>
        <v>3</v>
      </c>
      <c r="I7" s="10" t="n">
        <f aca="false">G7+H7</f>
        <v>46218</v>
      </c>
      <c r="J7" s="7" t="s">
        <v>77</v>
      </c>
      <c r="K7" s="7" t="s">
        <v>67</v>
      </c>
      <c r="L7" s="7" t="s">
        <v>50</v>
      </c>
      <c r="M7" s="8"/>
      <c r="N7" s="11" t="n">
        <f aca="true">IF(OR(L7="Resolved",L7="Verified Closed"),"Closed",I7-TODAY())</f>
        <v>-1</v>
      </c>
    </row>
    <row r="8" customFormat="false" ht="15" hidden="false" customHeight="false" outlineLevel="0" collapsed="false">
      <c r="A8" s="7" t="s">
        <v>78</v>
      </c>
      <c r="B8" s="7" t="s">
        <v>79</v>
      </c>
      <c r="C8" s="7" t="s">
        <v>80</v>
      </c>
      <c r="D8" s="7" t="s">
        <v>81</v>
      </c>
      <c r="E8" s="7" t="s">
        <v>26</v>
      </c>
      <c r="F8" s="7" t="n">
        <v>5</v>
      </c>
      <c r="G8" s="8" t="n">
        <v>46209</v>
      </c>
      <c r="H8" s="9" t="n">
        <f aca="false">INDEX('SLA Reference'!$B$2:$B$5,MATCH(E8,'SLA Reference'!$A$2:$A$5,0))</f>
        <v>30</v>
      </c>
      <c r="I8" s="10" t="n">
        <f aca="false">G8+H8</f>
        <v>46239</v>
      </c>
      <c r="J8" s="7" t="s">
        <v>82</v>
      </c>
      <c r="K8" s="7" t="s">
        <v>62</v>
      </c>
      <c r="L8" s="7" t="s">
        <v>50</v>
      </c>
      <c r="M8" s="8"/>
      <c r="N8" s="11" t="n">
        <f aca="true">IF(OR(L8="Resolved",L8="Verified Closed"),"Closed",I8-TODAY())</f>
        <v>20</v>
      </c>
    </row>
    <row r="9" customFormat="false" ht="15" hidden="false" customHeight="false" outlineLevel="0" collapsed="false">
      <c r="A9" s="7" t="s">
        <v>83</v>
      </c>
      <c r="B9" s="7" t="s">
        <v>79</v>
      </c>
      <c r="C9" s="7" t="s">
        <v>84</v>
      </c>
      <c r="D9" s="7" t="s">
        <v>85</v>
      </c>
      <c r="E9" s="7" t="s">
        <v>24</v>
      </c>
      <c r="F9" s="7" t="n">
        <v>8.2</v>
      </c>
      <c r="G9" s="8" t="n">
        <v>46204</v>
      </c>
      <c r="H9" s="9" t="n">
        <f aca="false">INDEX('SLA Reference'!$B$2:$B$5,MATCH(E9,'SLA Reference'!$A$2:$A$5,0))</f>
        <v>7</v>
      </c>
      <c r="I9" s="10" t="n">
        <f aca="false">G9+H9</f>
        <v>46211</v>
      </c>
      <c r="J9" s="7" t="s">
        <v>86</v>
      </c>
      <c r="K9" s="7" t="s">
        <v>87</v>
      </c>
      <c r="L9" s="7" t="s">
        <v>88</v>
      </c>
      <c r="M9" s="8" t="n">
        <v>46213</v>
      </c>
      <c r="N9" s="11" t="str">
        <f aca="true">IF(OR(L9="Resolved",L9="Verified Closed"),"Closed",I9-TODAY())</f>
        <v>Closed</v>
      </c>
    </row>
    <row r="10" customFormat="false" ht="15" hidden="false" customHeight="false" outlineLevel="0" collapsed="false">
      <c r="A10" s="7" t="s">
        <v>89</v>
      </c>
      <c r="B10" s="7" t="s">
        <v>90</v>
      </c>
      <c r="C10" s="7" t="s">
        <v>91</v>
      </c>
      <c r="D10" s="7" t="s">
        <v>92</v>
      </c>
      <c r="E10" s="7" t="s">
        <v>26</v>
      </c>
      <c r="F10" s="7" t="n">
        <v>6.1</v>
      </c>
      <c r="G10" s="8" t="n">
        <v>46216</v>
      </c>
      <c r="H10" s="9" t="n">
        <f aca="false">INDEX('SLA Reference'!$B$2:$B$5,MATCH(E10,'SLA Reference'!$A$2:$A$5,0))</f>
        <v>30</v>
      </c>
      <c r="I10" s="10" t="n">
        <f aca="false">G10+H10</f>
        <v>46246</v>
      </c>
      <c r="J10" s="7" t="s">
        <v>93</v>
      </c>
      <c r="K10" s="7" t="s">
        <v>49</v>
      </c>
      <c r="L10" s="7" t="s">
        <v>50</v>
      </c>
      <c r="M10" s="8"/>
      <c r="N10" s="11" t="n">
        <f aca="true">IF(OR(L10="Resolved",L10="Verified Closed"),"Closed",I10-TODAY())</f>
        <v>27</v>
      </c>
    </row>
    <row r="11" customFormat="false" ht="15" hidden="false" customHeight="false" outlineLevel="0" collapsed="false">
      <c r="A11" s="7" t="s">
        <v>94</v>
      </c>
      <c r="B11" s="7" t="s">
        <v>90</v>
      </c>
      <c r="C11" s="7" t="s">
        <v>95</v>
      </c>
      <c r="D11" s="7" t="s">
        <v>96</v>
      </c>
      <c r="E11" s="7" t="s">
        <v>28</v>
      </c>
      <c r="F11" s="7" t="n">
        <v>4.3</v>
      </c>
      <c r="G11" s="8" t="n">
        <v>46218</v>
      </c>
      <c r="H11" s="9" t="n">
        <f aca="false">INDEX('SLA Reference'!$B$2:$B$5,MATCH(E11,'SLA Reference'!$A$2:$A$5,0))</f>
        <v>90</v>
      </c>
      <c r="I11" s="10" t="n">
        <f aca="false">G11+H11</f>
        <v>46308</v>
      </c>
      <c r="J11" s="7" t="s">
        <v>97</v>
      </c>
      <c r="K11" s="7" t="s">
        <v>55</v>
      </c>
      <c r="L11" s="7" t="s">
        <v>50</v>
      </c>
      <c r="M11" s="8"/>
      <c r="N11" s="11" t="n">
        <f aca="true">IF(OR(L11="Resolved",L11="Verified Closed"),"Closed",I11-TODAY())</f>
        <v>89</v>
      </c>
    </row>
  </sheetData>
  <conditionalFormatting sqref="N2:N500">
    <cfRule type="expression" priority="2" aboveAverage="0" equalAverage="0" bottom="0" percent="0" rank="0" text="" dxfId="0">
      <formula>AND(ISNUMBER(N2),N2&lt;0)</formula>
    </cfRule>
    <cfRule type="expression" priority="3" aboveAverage="0" equalAverage="0" bottom="0" percent="0" rank="0" text="" dxfId="1">
      <formula>AND(ISNUMBER(N2),N2&gt;=0,N2&lt;=2)</formula>
    </cfRule>
    <cfRule type="expression" priority="4" aboveAverage="0" equalAverage="0" bottom="0" percent="0" rank="0" text="" dxfId="2">
      <formula>AND(ISNUMBER(N2),N2&gt;2)</formula>
    </cfRule>
    <cfRule type="expression" priority="5" aboveAverage="0" equalAverage="0" bottom="0" percent="0" rank="0" text="" dxfId="3">
      <formula>N2="Closed"</formula>
    </cfRule>
  </conditionalFormatting>
  <dataValidations count="2">
    <dataValidation allowBlank="false" errorStyle="stop" operator="between" showDropDown="false" showErrorMessage="false" showInputMessage="false" sqref="E2:E500" type="list">
      <formula1>"Critical,High,Medium,Low"</formula1>
      <formula2>0</formula2>
    </dataValidation>
    <dataValidation allowBlank="false" errorStyle="stop" operator="between" showDropDown="false" showErrorMessage="false" showInputMessage="false" sqref="L2:L500" type="list">
      <formula1>"Open,In Progress,Resolved,Verified Closed"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30" hidden="false" customHeight="true" outlineLevel="0" collapsed="false">
      <c r="A4" s="12" t="s">
        <v>100</v>
      </c>
      <c r="B4" s="12" t="s">
        <v>50</v>
      </c>
      <c r="C4" s="12" t="s">
        <v>56</v>
      </c>
      <c r="D4" s="12" t="s">
        <v>101</v>
      </c>
      <c r="E4" s="12" t="s">
        <v>102</v>
      </c>
    </row>
    <row r="5" customFormat="false" ht="25.5" hidden="false" customHeight="true" outlineLevel="0" collapsed="false">
      <c r="A5" s="13" t="n">
        <f aca="false">COUNTA('Findings Log'!$A$2:$A$11)</f>
        <v>10</v>
      </c>
      <c r="B5" s="13" t="n">
        <f aca="false">COUNTIF('Findings Log'!$L$2:$L$11,"Open")</f>
        <v>6</v>
      </c>
      <c r="C5" s="13" t="n">
        <f aca="false">COUNTIF('Findings Log'!$L$2:$L$11,"In Progress")</f>
        <v>2</v>
      </c>
      <c r="D5" s="13" t="n">
        <f aca="false">COUNTIF('Findings Log'!$L$2:$L$11,"Resolved")+COUNTIF('Findings Log'!$L$2:$L$11,"Verified Closed")</f>
        <v>2</v>
      </c>
      <c r="E5" s="13" t="n">
        <f aca="true">SUMPRODUCT(('Findings Log'!$I$2:$I$11&lt;TODAY())*('Findings Log'!$L$2:$L$11&lt;&gt;"Resolved")*('Findings Log'!$L$2:$L$11&lt;&gt;"Verified Closed"))</f>
        <v>3</v>
      </c>
    </row>
    <row r="7" customFormat="false" ht="17.35" hidden="false" customHeight="false" outlineLevel="0" collapsed="false">
      <c r="A7" s="14" t="s">
        <v>103</v>
      </c>
      <c r="B7" s="15" t="n">
        <f aca="false">IFERROR(1-(E5/(B5+C5)),"n/a")</f>
        <v>0.625</v>
      </c>
    </row>
    <row r="10" customFormat="false" ht="15" hidden="false" customHeight="false" outlineLevel="0" collapsed="false">
      <c r="A10" s="14" t="s">
        <v>104</v>
      </c>
    </row>
    <row r="11" customFormat="false" ht="15" hidden="false" customHeight="false" outlineLevel="0" collapsed="false">
      <c r="A11" s="16" t="s">
        <v>19</v>
      </c>
      <c r="B11" s="16" t="s">
        <v>105</v>
      </c>
    </row>
    <row r="12" customFormat="false" ht="15" hidden="false" customHeight="false" outlineLevel="0" collapsed="false">
      <c r="A12" s="17" t="s">
        <v>22</v>
      </c>
      <c r="B12" s="11" t="n">
        <f aca="false">SUMPRODUCT(('Findings Log'!$E$2:$E$11="Critical")*(('Findings Log'!$L$2:$L$11="Open")+('Findings Log'!$L$2:$L$11="In Progress")))</f>
        <v>3</v>
      </c>
    </row>
    <row r="13" customFormat="false" ht="15" hidden="false" customHeight="false" outlineLevel="0" collapsed="false">
      <c r="A13" s="17" t="s">
        <v>24</v>
      </c>
      <c r="B13" s="11" t="n">
        <f aca="false">SUMPRODUCT(('Findings Log'!$E$2:$E$11="High")*(('Findings Log'!$L$2:$L$11="Open")+('Findings Log'!$L$2:$L$11="In Progress")))</f>
        <v>2</v>
      </c>
    </row>
    <row r="14" customFormat="false" ht="15" hidden="false" customHeight="false" outlineLevel="0" collapsed="false">
      <c r="A14" s="17" t="s">
        <v>26</v>
      </c>
      <c r="B14" s="11" t="n">
        <f aca="false">SUMPRODUCT(('Findings Log'!$E$2:$E$11="Medium")*(('Findings Log'!$L$2:$L$11="Open")+('Findings Log'!$L$2:$L$11="In Progress")))</f>
        <v>2</v>
      </c>
    </row>
    <row r="15" customFormat="false" ht="15" hidden="false" customHeight="false" outlineLevel="0" collapsed="false">
      <c r="A15" s="17" t="s">
        <v>28</v>
      </c>
      <c r="B15" s="11" t="n">
        <f aca="false">SUMPRODUCT(('Findings Log'!$E$2:$E$11="Low")*(('Findings Log'!$L$2:$L$11="Open")+('Findings Log'!$L$2:$L$11="In Progress")))</f>
        <v>1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2026-07-16T10:15:30Z</dcterms:created>
  <dc:creator>openpyxl</dc:creator>
  <dc:description/>
  <dc:language>en-US</dc:language>
  <cp:lastModifiedBy/>
  <dcterms:modified xsi:type="dcterms:W3CDTF">2026-07-16T10:15:32Z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